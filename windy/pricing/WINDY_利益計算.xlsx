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益計算" sheetId="1" state="visible" r:id="rId1"/>
    <sheet xmlns:r="http://schemas.openxmlformats.org/officeDocument/2006/relationships" name="値段ごとの比較" sheetId="2" state="visible" r:id="rId2"/>
    <sheet xmlns:r="http://schemas.openxmlformats.org/officeDocument/2006/relationships" name="出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0.0%"/>
    <numFmt numFmtId="166" formatCode="#,##0&quot;円&quot;;[Red]-#,##0&quot;円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B3"/>
      </patternFill>
    </fill>
    <fill>
      <patternFill patternType="solid">
        <fgColor rgb="00EEEEEE"/>
      </patternFill>
    </fill>
    <fill>
      <patternFill patternType="solid">
        <fgColor rgb="00D9F2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3" borderId="1" pivotButton="0" quotePrefix="0" xfId="0"/>
    <xf numFmtId="4" fontId="0" fillId="3" borderId="1" pivotButton="0" quotePrefix="0" xfId="0"/>
    <xf numFmtId="165" fontId="0" fillId="3" borderId="1" pivotButton="0" quotePrefix="0" xfId="0"/>
    <xf numFmtId="2" fontId="0" fillId="3" borderId="1" pivotButton="0" quotePrefix="0" xfId="0"/>
    <xf numFmtId="165" fontId="0" fillId="4" borderId="1" pivotButton="0" quotePrefix="0" xfId="0"/>
    <xf numFmtId="164" fontId="0" fillId="4" borderId="1" pivotButton="0" quotePrefix="0" xfId="0"/>
    <xf numFmtId="1" fontId="0" fillId="3" borderId="1" pivotButton="0" quotePrefix="0" xfId="0"/>
    <xf numFmtId="164" fontId="0" fillId="5" borderId="1" pivotButton="0" quotePrefix="0" xfId="0"/>
    <xf numFmtId="0" fontId="3" fillId="0" borderId="0" applyAlignment="1" pivotButton="0" quotePrefix="0" xfId="0">
      <alignment vertical="center" wrapText="1"/>
    </xf>
    <xf numFmtId="166" fontId="3" fillId="5" borderId="1" pivotButton="0" quotePrefix="0" xfId="0"/>
    <xf numFmtId="165" fontId="0" fillId="5" borderId="1" pivotButton="0" quotePrefix="0" xfId="0"/>
    <xf numFmtId="0" fontId="3" fillId="0" borderId="0" pivotButton="0" quotePrefix="0" xfId="0"/>
    <xf numFmtId="164" fontId="0" fillId="0" borderId="0" pivotButton="0" quotePrefix="0" xfId="0"/>
    <xf numFmtId="166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WINDY 1枚あたりの利益計算</t>
        </is>
      </c>
    </row>
    <row r="2">
      <c r="A2" t="inlineStr">
        <is>
          <t>黄色のマスだけ入力してください。緑は自動計算。灰色は公式ページで確認した手数料（変わったら書き換える）。</t>
        </is>
      </c>
    </row>
    <row r="4">
      <c r="A4" s="2" t="inlineStr">
        <is>
          <t>項目</t>
        </is>
      </c>
      <c r="B4" s="2" t="inlineStr">
        <is>
          <t>半袖T</t>
        </is>
      </c>
      <c r="C4" s="2" t="inlineStr">
        <is>
          <t>ロンT</t>
        </is>
      </c>
      <c r="D4" s="2" t="inlineStr">
        <is>
          <t>説明</t>
        </is>
      </c>
    </row>
    <row r="5" ht="30" customHeight="1">
      <c r="A5" s="3" t="inlineStr">
        <is>
          <t>【入力】販売価格（税込）</t>
        </is>
      </c>
      <c r="B5" s="4" t="n"/>
      <c r="C5" s="4" t="n"/>
      <c r="D5" s="3" t="inlineStr">
        <is>
          <t>BASEで表示する値段</t>
        </is>
      </c>
    </row>
    <row r="6" ht="30" customHeight="1">
      <c r="A6" s="3" t="inlineStr">
        <is>
          <t>【入力】お客さんから受け取る送料</t>
        </is>
      </c>
      <c r="B6" s="4" t="n"/>
      <c r="C6" s="4" t="n"/>
      <c r="D6" s="3" t="inlineStr">
        <is>
          <t>送料無料にするなら 0 を入れる</t>
        </is>
      </c>
    </row>
    <row r="7" ht="30" customHeight="1">
      <c r="A7" s="3" t="inlineStr">
        <is>
          <t>【入力】Printful 商品代（ボディ＋印刷）</t>
        </is>
      </c>
      <c r="B7" s="5" t="n"/>
      <c r="C7" s="5" t="n"/>
      <c r="D7" s="3" t="inlineStr">
        <is>
          <t>Printfulの商品ページ・注文画面に出る金額。ドル表示ならドルのまま入れる</t>
        </is>
      </c>
    </row>
    <row r="8" ht="30" customHeight="1">
      <c r="A8" s="3" t="inlineStr">
        <is>
          <t>【入力】Printful 送料（日本向け1枚目）</t>
        </is>
      </c>
      <c r="B8" s="5" t="n"/>
      <c r="C8" s="5" t="n"/>
      <c r="D8" s="3" t="inlineStr">
        <is>
          <t>注文画面で確認した金額。2枚以上まとめて買われると1枚あたりは下がる</t>
        </is>
      </c>
    </row>
    <row r="9" ht="30" customHeight="1">
      <c r="A9" s="3" t="inlineStr">
        <is>
          <t>【入力】Printful 請求に上乗せされる税など（%）</t>
        </is>
      </c>
      <c r="B9" s="6" t="n"/>
      <c r="C9" s="6" t="n"/>
      <c r="D9" s="3" t="inlineStr">
        <is>
          <t>未確認。消費税などが上乗せされるか、最初の注文の請求書で確認して入れる（無ければ0）</t>
        </is>
      </c>
    </row>
    <row r="10" ht="30" customHeight="1">
      <c r="A10" s="3" t="inlineStr">
        <is>
          <t>【入力】為替レート（1ドル＝何円）</t>
        </is>
      </c>
      <c r="B10" s="7" t="n"/>
      <c r="C10" s="7" t="n"/>
      <c r="D10" s="3" t="inlineStr">
        <is>
          <t>上の7・8行がドルなら入れる。円で入れた場合は 1 を入れる</t>
        </is>
      </c>
    </row>
    <row r="11" ht="30" customHeight="1"/>
    <row r="12" ht="30" customHeight="1">
      <c r="A12" s="3" t="inlineStr">
        <is>
          <t>BASE 決済手数料（率）</t>
        </is>
      </c>
      <c r="B12" s="8" t="n">
        <v>0.036</v>
      </c>
      <c r="C12" s="8" t="n">
        <v>0.036</v>
      </c>
      <c r="D12" s="3" t="inlineStr">
        <is>
          <t>BASE公式 料金ページ（スタンダードプラン）で確認 2026-10-23</t>
        </is>
      </c>
    </row>
    <row r="13" ht="30" customHeight="1">
      <c r="A13" s="3" t="inlineStr">
        <is>
          <t>BASE 決済手数料（1注文ごとの固定額）</t>
        </is>
      </c>
      <c r="B13" s="9" t="n">
        <v>40</v>
      </c>
      <c r="C13" s="9" t="n">
        <v>40</v>
      </c>
      <c r="D13" s="3" t="inlineStr">
        <is>
          <t>同上</t>
        </is>
      </c>
    </row>
    <row r="14" ht="30" customHeight="1">
      <c r="A14" s="3" t="inlineStr">
        <is>
          <t>BASE サービス利用料（率）</t>
        </is>
      </c>
      <c r="B14" s="8" t="n">
        <v>0.03</v>
      </c>
      <c r="C14" s="8" t="n">
        <v>0.03</v>
      </c>
      <c r="D14" s="3" t="inlineStr">
        <is>
          <t>同上</t>
        </is>
      </c>
    </row>
    <row r="15" ht="30" customHeight="1">
      <c r="A15" s="3" t="inlineStr">
        <is>
          <t>振込1回で引かれる手数料の合計</t>
        </is>
      </c>
      <c r="B15" s="9" t="n">
        <v>750</v>
      </c>
      <c r="C15" s="9" t="n">
        <v>750</v>
      </c>
      <c r="D15" s="3" t="inlineStr">
        <is>
          <t>BASE公式ヘルプ: 振込手数料250円＋事務手数料500円(振込額2万円未満のとき。2万円以上は0円→250を入れる)</t>
        </is>
      </c>
    </row>
    <row r="16" ht="30" customHeight="1">
      <c r="A16" s="3" t="inlineStr">
        <is>
          <t>【入力】1回の振込で何枚分まとめて受け取るか</t>
        </is>
      </c>
      <c r="B16" s="10" t="n"/>
      <c r="C16" s="10" t="n"/>
      <c r="D16" s="3" t="inlineStr">
        <is>
          <t>例: 月1回振込で10枚売れたら 10。空欄なら振込手数料は計算に入れない</t>
        </is>
      </c>
    </row>
    <row r="17" ht="30" customHeight="1"/>
    <row r="18" ht="30" customHeight="1">
      <c r="A18" s="3" t="inlineStr">
        <is>
          <t>お客さんの支払い合計</t>
        </is>
      </c>
      <c r="B18" s="11">
        <f>IF(COUNT(B5,B7,B8,B10)=4,B5+N(B6),"未入力")</f>
        <v/>
      </c>
      <c r="C18" s="11">
        <f>IF(COUNT(C5,C7,C8,C10)=4,C5+N(C6),"未入力")</f>
        <v/>
      </c>
      <c r="D18" s="3" t="inlineStr">
        <is>
          <t>販売価格＋送料。BASEの手数料はこの合計にかかる（確信度: 中）</t>
        </is>
      </c>
    </row>
    <row r="19" ht="30" customHeight="1">
      <c r="A19" s="3" t="inlineStr">
        <is>
          <t>− BASE 決済手数料</t>
        </is>
      </c>
      <c r="B19" s="11">
        <f>IF(COUNT(B5,B7,B8,B10)=4,ROUND(B18*B12+B13,0),"未入力")</f>
        <v/>
      </c>
      <c r="C19" s="11">
        <f>IF(COUNT(C5,C7,C8,C10)=4,ROUND(C18*C12+C13,0),"未入力")</f>
        <v/>
      </c>
      <c r="D19" s="3" t="inlineStr">
        <is>
          <t>合計×3.6%＋40円</t>
        </is>
      </c>
    </row>
    <row r="20" ht="30" customHeight="1">
      <c r="A20" s="3" t="inlineStr">
        <is>
          <t>− BASE サービス利用料</t>
        </is>
      </c>
      <c r="B20" s="11">
        <f>IF(COUNT(B5,B7,B8,B10)=4,ROUND(B18*B14,0),"未入力")</f>
        <v/>
      </c>
      <c r="C20" s="11">
        <f>IF(COUNT(C5,C7,C8,C10)=4,ROUND(C18*C14,0),"未入力")</f>
        <v/>
      </c>
      <c r="D20" s="3" t="inlineStr">
        <is>
          <t>合計×3%</t>
        </is>
      </c>
    </row>
    <row r="21" ht="30" customHeight="1">
      <c r="A21" s="3" t="inlineStr">
        <is>
          <t>− Printful への支払い（円）</t>
        </is>
      </c>
      <c r="B21" s="11">
        <f>IF(COUNT(B5,B7,B8,B10)=4,ROUND((B7+B8)*(1+N(B9))*B10,0),"未入力")</f>
        <v/>
      </c>
      <c r="C21" s="11">
        <f>IF(COUNT(C5,C7,C8,C10)=4,ROUND((C7+C8)*(1+N(C9))*C10,0),"未入力")</f>
        <v/>
      </c>
      <c r="D21" s="3" t="inlineStr">
        <is>
          <t>(商品代＋送料)×(1＋税)×為替</t>
        </is>
      </c>
    </row>
    <row r="22" ht="30" customHeight="1">
      <c r="A22" s="3" t="inlineStr">
        <is>
          <t>− 振込手数料（1枚あたり）</t>
        </is>
      </c>
      <c r="B22" s="11">
        <f>IF(COUNT(B5,B7,B8,B10)=4,IF(N(B16)&gt;0,ROUND(B15/B16,0),0),"未入力")</f>
        <v/>
      </c>
      <c r="C22" s="11">
        <f>IF(COUNT(C5,C7,C8,C10)=4,IF(N(C16)&gt;0,ROUND(C15/C16,0),0),"未入力")</f>
        <v/>
      </c>
      <c r="D22" s="3" t="inlineStr">
        <is>
          <t>振込1回の手数料÷まとめる枚数</t>
        </is>
      </c>
    </row>
    <row r="23" ht="30" customHeight="1">
      <c r="A23" s="12" t="inlineStr">
        <is>
          <t>＝ 1枚あたりの利益</t>
        </is>
      </c>
      <c r="B23" s="13">
        <f>IF(COUNT(B5,B7,B8,B10)=4,B18-B19-B20-B21-B22,"未入力")</f>
        <v/>
      </c>
      <c r="C23" s="13">
        <f>IF(COUNT(C5,C7,C8,C10)=4,C18-C19-C20-C21-C22,"未入力")</f>
        <v/>
      </c>
      <c r="D23" s="3" t="inlineStr">
        <is>
          <t>ここがマイナスなら赤字</t>
        </is>
      </c>
    </row>
    <row r="24" ht="30" customHeight="1">
      <c r="A24" s="3" t="inlineStr">
        <is>
          <t>利益率</t>
        </is>
      </c>
      <c r="B24" s="14">
        <f>IF(COUNT(B5,B7,B8,B10)=4,B23/B18,"未入力")</f>
        <v/>
      </c>
      <c r="C24" s="14">
        <f>IF(COUNT(C5,C7,C8,C10)=4,C23/C18,"未入力")</f>
        <v/>
      </c>
      <c r="D24" s="3" t="inlineStr">
        <is>
          <t>利益÷お客さんの支払い合計</t>
        </is>
      </c>
    </row>
    <row r="25" ht="30" customHeight="1">
      <c r="A25" s="3" t="inlineStr">
        <is>
          <t>赤字にならない最低の販売価格（目安）</t>
        </is>
      </c>
      <c r="B25" s="11">
        <f>IF(COUNT(B5,B7,B8,B10)=4,ROUNDUP((B21+B22+B13)/(1-B12-B14)-N(B6),-1),"未入力")</f>
        <v/>
      </c>
      <c r="C25" s="11">
        <f>IF(COUNT(C5,C7,C8,C10)=4,ROUNDUP((C21+C22+C13)/(1-C12-C14)-N(C6),-1),"未入力")</f>
        <v/>
      </c>
      <c r="D25" s="3" t="inlineStr">
        <is>
          <t>これより安くすると1枚売るごとに損をする（10円単位で切り上げ）</t>
        </is>
      </c>
    </row>
    <row r="27">
      <c r="A27" s="15" t="inlineStr">
        <is>
          <t>注意</t>
        </is>
      </c>
    </row>
    <row r="28" ht="32" customHeight="1">
      <c r="A28" s="3" t="inlineStr">
        <is>
          <t>・数字を勝手に入れていません。Printfulの金額はアカウント登録後、商品を選んだ画面で確認して入れてください。</t>
        </is>
      </c>
    </row>
    <row r="29" ht="32" customHeight="1">
      <c r="A29" s="3" t="inlineStr">
        <is>
          <t>・この表に入っていない費用: サンプル代、返品・不良の対応、広告費、所得税など。</t>
        </is>
      </c>
    </row>
    <row r="30" ht="32" customHeight="1">
      <c r="A30" s="3" t="inlineStr">
        <is>
          <t>・BASEの手数料は スタンダードプラン（月額0円）の場合。グロースプラン(月額有料)だと率が変わる。</t>
        </is>
      </c>
    </row>
    <row r="31" ht="32" customHeight="1">
      <c r="A31" s="3" t="inlineStr">
        <is>
          <t>・Printfulの日本向け送料は公式の配送ページに「Tシャツ/トップス・長袖 1点目 $4.95、2点目以降 +$2.00」と表示されていた（2026-10-23、確信度: 中）。必ず注文画面の金額で入れること。</t>
        </is>
      </c>
    </row>
  </sheetData>
  <mergeCells count="5">
    <mergeCell ref="A31:D31"/>
    <mergeCell ref="A30:D30"/>
    <mergeCell ref="A29:D2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5" t="inlineStr">
        <is>
          <t>販売価格を変えたときの1枚あたりの利益（他の条件は「利益計算」シートの入力を使う）</t>
        </is>
      </c>
    </row>
    <row r="3">
      <c r="A3" s="2" t="inlineStr">
        <is>
          <t>販売価格（税込）</t>
        </is>
      </c>
      <c r="B3" s="2" t="inlineStr">
        <is>
          <t>半袖Tの利益</t>
        </is>
      </c>
      <c r="C3" s="2" t="inlineStr">
        <is>
          <t>ロンTの利益</t>
        </is>
      </c>
    </row>
    <row r="4">
      <c r="A4" s="16" t="n">
        <v>2000</v>
      </c>
      <c r="B4" s="17">
        <f>IF(COUNT(利益計算!B7,利益計算!B8,利益計算!B10)=3,($A4+N(利益計算!B6))-ROUND(($A4+N(利益計算!B6))*利益計算!B12+利益計算!B13,0)-ROUND(($A4+N(利益計算!B6))*利益計算!B14,0)-ROUND((利益計算!B7+利益計算!B8)*(1+N(利益計算!B9))*利益計算!B10,0)-IF(N(利益計算!B16)&gt;0,ROUND(利益計算!B15/利益計算!B16,0),0),"未入力")</f>
        <v/>
      </c>
      <c r="C4" s="17">
        <f>IF(COUNT(利益計算!C7,利益計算!C8,利益計算!C10)=3,($A4+N(利益計算!C6))-ROUND(($A4+N(利益計算!C6))*利益計算!C12+利益計算!C13,0)-ROUND(($A4+N(利益計算!C6))*利益計算!C14,0)-ROUND((利益計算!C7+利益計算!C8)*(1+N(利益計算!C9))*利益計算!C10,0)-IF(N(利益計算!C16)&gt;0,ROUND(利益計算!C15/利益計算!C16,0),0),"未入力")</f>
        <v/>
      </c>
    </row>
    <row r="5">
      <c r="A5" s="16" t="n">
        <v>2500</v>
      </c>
      <c r="B5" s="17">
        <f>IF(COUNT(利益計算!B7,利益計算!B8,利益計算!B10)=3,($A5+N(利益計算!B6))-ROUND(($A5+N(利益計算!B6))*利益計算!B12+利益計算!B13,0)-ROUND(($A5+N(利益計算!B6))*利益計算!B14,0)-ROUND((利益計算!B7+利益計算!B8)*(1+N(利益計算!B9))*利益計算!B10,0)-IF(N(利益計算!B16)&gt;0,ROUND(利益計算!B15/利益計算!B16,0),0),"未入力")</f>
        <v/>
      </c>
      <c r="C5" s="17">
        <f>IF(COUNT(利益計算!C7,利益計算!C8,利益計算!C10)=3,($A5+N(利益計算!C6))-ROUND(($A5+N(利益計算!C6))*利益計算!C12+利益計算!C13,0)-ROUND(($A5+N(利益計算!C6))*利益計算!C14,0)-ROUND((利益計算!C7+利益計算!C8)*(1+N(利益計算!C9))*利益計算!C10,0)-IF(N(利益計算!C16)&gt;0,ROUND(利益計算!C15/利益計算!C16,0),0),"未入力")</f>
        <v/>
      </c>
    </row>
    <row r="6">
      <c r="A6" s="16" t="n">
        <v>3000</v>
      </c>
      <c r="B6" s="17">
        <f>IF(COUNT(利益計算!B7,利益計算!B8,利益計算!B10)=3,($A6+N(利益計算!B6))-ROUND(($A6+N(利益計算!B6))*利益計算!B12+利益計算!B13,0)-ROUND(($A6+N(利益計算!B6))*利益計算!B14,0)-ROUND((利益計算!B7+利益計算!B8)*(1+N(利益計算!B9))*利益計算!B10,0)-IF(N(利益計算!B16)&gt;0,ROUND(利益計算!B15/利益計算!B16,0),0),"未入力")</f>
        <v/>
      </c>
      <c r="C6" s="17">
        <f>IF(COUNT(利益計算!C7,利益計算!C8,利益計算!C10)=3,($A6+N(利益計算!C6))-ROUND(($A6+N(利益計算!C6))*利益計算!C12+利益計算!C13,0)-ROUND(($A6+N(利益計算!C6))*利益計算!C14,0)-ROUND((利益計算!C7+利益計算!C8)*(1+N(利益計算!C9))*利益計算!C10,0)-IF(N(利益計算!C16)&gt;0,ROUND(利益計算!C15/利益計算!C16,0),0),"未入力")</f>
        <v/>
      </c>
    </row>
    <row r="7">
      <c r="A7" s="16" t="n">
        <v>3500</v>
      </c>
      <c r="B7" s="17">
        <f>IF(COUNT(利益計算!B7,利益計算!B8,利益計算!B10)=3,($A7+N(利益計算!B6))-ROUND(($A7+N(利益計算!B6))*利益計算!B12+利益計算!B13,0)-ROUND(($A7+N(利益計算!B6))*利益計算!B14,0)-ROUND((利益計算!B7+利益計算!B8)*(1+N(利益計算!B9))*利益計算!B10,0)-IF(N(利益計算!B16)&gt;0,ROUND(利益計算!B15/利益計算!B16,0),0),"未入力")</f>
        <v/>
      </c>
      <c r="C7" s="17">
        <f>IF(COUNT(利益計算!C7,利益計算!C8,利益計算!C10)=3,($A7+N(利益計算!C6))-ROUND(($A7+N(利益計算!C6))*利益計算!C12+利益計算!C13,0)-ROUND(($A7+N(利益計算!C6))*利益計算!C14,0)-ROUND((利益計算!C7+利益計算!C8)*(1+N(利益計算!C9))*利益計算!C10,0)-IF(N(利益計算!C16)&gt;0,ROUND(利益計算!C15/利益計算!C16,0),0),"未入力")</f>
        <v/>
      </c>
    </row>
    <row r="8">
      <c r="A8" s="16" t="n">
        <v>4000</v>
      </c>
      <c r="B8" s="17">
        <f>IF(COUNT(利益計算!B7,利益計算!B8,利益計算!B10)=3,($A8+N(利益計算!B6))-ROUND(($A8+N(利益計算!B6))*利益計算!B12+利益計算!B13,0)-ROUND(($A8+N(利益計算!B6))*利益計算!B14,0)-ROUND((利益計算!B7+利益計算!B8)*(1+N(利益計算!B9))*利益計算!B10,0)-IF(N(利益計算!B16)&gt;0,ROUND(利益計算!B15/利益計算!B16,0),0),"未入力")</f>
        <v/>
      </c>
      <c r="C8" s="17">
        <f>IF(COUNT(利益計算!C7,利益計算!C8,利益計算!C10)=3,($A8+N(利益計算!C6))-ROUND(($A8+N(利益計算!C6))*利益計算!C12+利益計算!C13,0)-ROUND(($A8+N(利益計算!C6))*利益計算!C14,0)-ROUND((利益計算!C7+利益計算!C8)*(1+N(利益計算!C9))*利益計算!C10,0)-IF(N(利益計算!C16)&gt;0,ROUND(利益計算!C15/利益計算!C16,0),0),"未入力")</f>
        <v/>
      </c>
    </row>
    <row r="9">
      <c r="A9" s="16" t="n">
        <v>4500</v>
      </c>
      <c r="B9" s="17">
        <f>IF(COUNT(利益計算!B7,利益計算!B8,利益計算!B10)=3,($A9+N(利益計算!B6))-ROUND(($A9+N(利益計算!B6))*利益計算!B12+利益計算!B13,0)-ROUND(($A9+N(利益計算!B6))*利益計算!B14,0)-ROUND((利益計算!B7+利益計算!B8)*(1+N(利益計算!B9))*利益計算!B10,0)-IF(N(利益計算!B16)&gt;0,ROUND(利益計算!B15/利益計算!B16,0),0),"未入力")</f>
        <v/>
      </c>
      <c r="C9" s="17">
        <f>IF(COUNT(利益計算!C7,利益計算!C8,利益計算!C10)=3,($A9+N(利益計算!C6))-ROUND(($A9+N(利益計算!C6))*利益計算!C12+利益計算!C13,0)-ROUND(($A9+N(利益計算!C6))*利益計算!C14,0)-ROUND((利益計算!C7+利益計算!C8)*(1+N(利益計算!C9))*利益計算!C10,0)-IF(N(利益計算!C16)&gt;0,ROUND(利益計算!C15/利益計算!C16,0),0),"未入力")</f>
        <v/>
      </c>
    </row>
    <row r="10">
      <c r="A10" s="16" t="n">
        <v>5000</v>
      </c>
      <c r="B10" s="17">
        <f>IF(COUNT(利益計算!B7,利益計算!B8,利益計算!B10)=3,($A10+N(利益計算!B6))-ROUND(($A10+N(利益計算!B6))*利益計算!B12+利益計算!B13,0)-ROUND(($A10+N(利益計算!B6))*利益計算!B14,0)-ROUND((利益計算!B7+利益計算!B8)*(1+N(利益計算!B9))*利益計算!B10,0)-IF(N(利益計算!B16)&gt;0,ROUND(利益計算!B15/利益計算!B16,0),0),"未入力")</f>
        <v/>
      </c>
      <c r="C10" s="17">
        <f>IF(COUNT(利益計算!C7,利益計算!C8,利益計算!C10)=3,($A10+N(利益計算!C6))-ROUND(($A10+N(利益計算!C6))*利益計算!C12+利益計算!C13,0)-ROUND(($A10+N(利益計算!C6))*利益計算!C14,0)-ROUND((利益計算!C7+利益計算!C8)*(1+N(利益計算!C9))*利益計算!C10,0)-IF(N(利益計算!C16)&gt;0,ROUND(利益計算!C15/利益計算!C16,0),0),"未入力")</f>
        <v/>
      </c>
    </row>
    <row r="11">
      <c r="A11" s="16" t="n">
        <v>5500</v>
      </c>
      <c r="B11" s="17">
        <f>IF(COUNT(利益計算!B7,利益計算!B8,利益計算!B10)=3,($A11+N(利益計算!B6))-ROUND(($A11+N(利益計算!B6))*利益計算!B12+利益計算!B13,0)-ROUND(($A11+N(利益計算!B6))*利益計算!B14,0)-ROUND((利益計算!B7+利益計算!B8)*(1+N(利益計算!B9))*利益計算!B10,0)-IF(N(利益計算!B16)&gt;0,ROUND(利益計算!B15/利益計算!B16,0),0),"未入力")</f>
        <v/>
      </c>
      <c r="C11" s="17">
        <f>IF(COUNT(利益計算!C7,利益計算!C8,利益計算!C10)=3,($A11+N(利益計算!C6))-ROUND(($A11+N(利益計算!C6))*利益計算!C12+利益計算!C13,0)-ROUND(($A11+N(利益計算!C6))*利益計算!C14,0)-ROUND((利益計算!C7+利益計算!C8)*(1+N(利益計算!C9))*利益計算!C10,0)-IF(N(利益計算!C16)&gt;0,ROUND(利益計算!C15/利益計算!C16,0),0),"未入力")</f>
        <v/>
      </c>
    </row>
    <row r="12">
      <c r="A12" s="16" t="n">
        <v>6000</v>
      </c>
      <c r="B12" s="17">
        <f>IF(COUNT(利益計算!B7,利益計算!B8,利益計算!B10)=3,($A12+N(利益計算!B6))-ROUND(($A12+N(利益計算!B6))*利益計算!B12+利益計算!B13,0)-ROUND(($A12+N(利益計算!B6))*利益計算!B14,0)-ROUND((利益計算!B7+利益計算!B8)*(1+N(利益計算!B9))*利益計算!B10,0)-IF(N(利益計算!B16)&gt;0,ROUND(利益計算!B15/利益計算!B16,0),0),"未入力")</f>
        <v/>
      </c>
      <c r="C12" s="17">
        <f>IF(COUNT(利益計算!C7,利益計算!C8,利益計算!C10)=3,($A12+N(利益計算!C6))-ROUND(($A12+N(利益計算!C6))*利益計算!C12+利益計算!C13,0)-ROUND(($A12+N(利益計算!C6))*利益計算!C14,0)-ROUND((利益計算!C7+利益計算!C8)*(1+N(利益計算!C9))*利益計算!C10,0)-IF(N(利益計算!C16)&gt;0,ROUND(利益計算!C15/利益計算!C16,0),0),"未入力")</f>
        <v/>
      </c>
    </row>
    <row r="13">
      <c r="A13" s="16" t="n">
        <v>6500</v>
      </c>
      <c r="B13" s="17">
        <f>IF(COUNT(利益計算!B7,利益計算!B8,利益計算!B10)=3,($A13+N(利益計算!B6))-ROUND(($A13+N(利益計算!B6))*利益計算!B12+利益計算!B13,0)-ROUND(($A13+N(利益計算!B6))*利益計算!B14,0)-ROUND((利益計算!B7+利益計算!B8)*(1+N(利益計算!B9))*利益計算!B10,0)-IF(N(利益計算!B16)&gt;0,ROUND(利益計算!B15/利益計算!B16,0),0),"未入力")</f>
        <v/>
      </c>
      <c r="C13" s="17">
        <f>IF(COUNT(利益計算!C7,利益計算!C8,利益計算!C10)=3,($A13+N(利益計算!C6))-ROUND(($A13+N(利益計算!C6))*利益計算!C12+利益計算!C13,0)-ROUND(($A13+N(利益計算!C6))*利益計算!C14,0)-ROUND((利益計算!C7+利益計算!C8)*(1+N(利益計算!C9))*利益計算!C10,0)-IF(N(利益計算!C16)&gt;0,ROUND(利益計算!C15/利益計算!C16,0),0),"未入力")</f>
        <v/>
      </c>
    </row>
    <row r="14">
      <c r="A14" s="16" t="n">
        <v>7000</v>
      </c>
      <c r="B14" s="17">
        <f>IF(COUNT(利益計算!B7,利益計算!B8,利益計算!B10)=3,($A14+N(利益計算!B6))-ROUND(($A14+N(利益計算!B6))*利益計算!B12+利益計算!B13,0)-ROUND(($A14+N(利益計算!B6))*利益計算!B14,0)-ROUND((利益計算!B7+利益計算!B8)*(1+N(利益計算!B9))*利益計算!B10,0)-IF(N(利益計算!B16)&gt;0,ROUND(利益計算!B15/利益計算!B16,0),0),"未入力")</f>
        <v/>
      </c>
      <c r="C14" s="17">
        <f>IF(COUNT(利益計算!C7,利益計算!C8,利益計算!C10)=3,($A14+N(利益計算!C6))-ROUND(($A14+N(利益計算!C6))*利益計算!C12+利益計算!C13,0)-ROUND(($A14+N(利益計算!C6))*利益計算!C14,0)-ROUND((利益計算!C7+利益計算!C8)*(1+N(利益計算!C9))*利益計算!C10,0)-IF(N(利益計算!C16)&gt;0,ROUND(利益計算!C15/利益計算!C16,0),0),"未入力")</f>
        <v/>
      </c>
    </row>
    <row r="15">
      <c r="A15" s="16" t="n">
        <v>7500</v>
      </c>
      <c r="B15" s="17">
        <f>IF(COUNT(利益計算!B7,利益計算!B8,利益計算!B10)=3,($A15+N(利益計算!B6))-ROUND(($A15+N(利益計算!B6))*利益計算!B12+利益計算!B13,0)-ROUND(($A15+N(利益計算!B6))*利益計算!B14,0)-ROUND((利益計算!B7+利益計算!B8)*(1+N(利益計算!B9))*利益計算!B10,0)-IF(N(利益計算!B16)&gt;0,ROUND(利益計算!B15/利益計算!B16,0),0),"未入力")</f>
        <v/>
      </c>
      <c r="C15" s="17">
        <f>IF(COUNT(利益計算!C7,利益計算!C8,利益計算!C10)=3,($A15+N(利益計算!C6))-ROUND(($A15+N(利益計算!C6))*利益計算!C12+利益計算!C13,0)-ROUND(($A15+N(利益計算!C6))*利益計算!C14,0)-ROUND((利益計算!C7+利益計算!C8)*(1+N(利益計算!C9))*利益計算!C10,0)-IF(N(利益計算!C16)&gt;0,ROUND(利益計算!C15/利益計算!C16,0),0),"未入力")</f>
        <v/>
      </c>
    </row>
    <row r="16">
      <c r="A16" s="16" t="n">
        <v>8000</v>
      </c>
      <c r="B16" s="17">
        <f>IF(COUNT(利益計算!B7,利益計算!B8,利益計算!B10)=3,($A16+N(利益計算!B6))-ROUND(($A16+N(利益計算!B6))*利益計算!B12+利益計算!B13,0)-ROUND(($A16+N(利益計算!B6))*利益計算!B14,0)-ROUND((利益計算!B7+利益計算!B8)*(1+N(利益計算!B9))*利益計算!B10,0)-IF(N(利益計算!B16)&gt;0,ROUND(利益計算!B15/利益計算!B16,0),0),"未入力")</f>
        <v/>
      </c>
      <c r="C16" s="17">
        <f>IF(COUNT(利益計算!C7,利益計算!C8,利益計算!C10)=3,($A16+N(利益計算!C6))-ROUND(($A16+N(利益計算!C6))*利益計算!C12+利益計算!C13,0)-ROUND(($A16+N(利益計算!C6))*利益計算!C14,0)-ROUND((利益計算!C7+利益計算!C8)*(1+N(利益計算!C9))*利益計算!C10,0)-IF(N(利益計算!C16)&gt;0,ROUND(利益計算!C15/利益計算!C16,0),0),"未入力")</f>
        <v/>
      </c>
    </row>
    <row r="18">
      <c r="A18" t="inlineStr">
        <is>
          <t>A列の販売価格は自由に書き換えられます。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5" t="inlineStr">
        <is>
          <t>項目</t>
        </is>
      </c>
      <c r="B1" s="15" t="inlineStr">
        <is>
          <t>出典（2026-10-23 確認）</t>
        </is>
      </c>
    </row>
    <row r="2">
      <c r="A2" t="inlineStr">
        <is>
          <t>BASE 手数料 3.6%＋40円、サービス利用料3%</t>
        </is>
      </c>
      <c r="B2" t="inlineStr">
        <is>
          <t>https://thebase.com/price/</t>
        </is>
      </c>
    </row>
    <row r="3">
      <c r="A3" t="inlineStr">
        <is>
          <t>BASE 振込手数料250円・事務手数料500円(2万円未満)</t>
        </is>
      </c>
      <c r="B3" t="inlineStr">
        <is>
          <t>https://help.thebase.in/hc/ja/articles/206341302</t>
        </is>
      </c>
    </row>
    <row r="4">
      <c r="A4" t="inlineStr">
        <is>
          <t>Printful×BASE 連携 手数料表記</t>
        </is>
      </c>
      <c r="B4" t="inlineStr">
        <is>
          <t>https://www.printful.com/jp/integrations/base</t>
        </is>
      </c>
    </row>
    <row r="5">
      <c r="A5" t="inlineStr">
        <is>
          <t>Printful 日本向け送料</t>
        </is>
      </c>
      <c r="B5" t="inlineStr">
        <is>
          <t>https://www.printful.com/jp/shipping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2026-10-23T07:44:50Z</dcterms:created>
  <dcterms:modified xmlns:dcterms="http://purl.org/dc/terms/" xmlns:xsi="http://www.w3.org/2001/XMLSchema-instance" xsi:type="dcterms:W3CDTF">2026-10-23T07:44:50Z</dcterms:modified>
</cp:coreProperties>
</file>